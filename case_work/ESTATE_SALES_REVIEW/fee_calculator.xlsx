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Combined_RTC" sheetId="1" state="visible" r:id="rId1"/>
    <sheet xmlns:r="http://schemas.openxmlformats.org/officeDocument/2006/relationships" name="Headline_3ha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Lots" sheetId="4" state="visible" r:id="rId4"/>
  </sheets>
  <definedNames>
    <definedName name="level">Inputs!$C$2</definedName>
    <definedName name="mtc_cap">Inputs!$C$3</definedName>
    <definedName name="lrf_pct">Inputs!$C$4</definedName>
    <definedName name="lrf_min">Inputs!$C$5</definedName>
    <definedName name="vcf">Inputs!$C$6</definedName>
    <definedName name="mediation">Inputs!$C$7</definedName>
    <definedName name="summons">Inputs!$C$8</definedName>
    <definedName name="sheriff_trust">Inputs!$C$9</definedName>
    <definedName name="lis_pendens">Inputs!$C$10</definedName>
    <definedName name="cert_page">Inputs!$C$11</definedName>
    <definedName name="cert_cert">Inputs!$C$12</definedName>
    <definedName name="cert_pages">Inputs!$C$13</definedName>
    <definedName name="rd_ctc">Inputs!$C$14</definedName>
    <definedName name="lawyer">Inputs!$C$15</definedName>
    <definedName name="pps_hi">Inputs!$C$16</definedName>
    <definedName name="pps_lo">Inputs!$C$17</definedName>
    <definedName name="pps_mid">Inputs!$C$18</definedName>
    <definedName name="area">Inputs!$C$19</definedName>
    <definedName name="nlots">Inputs!$C$20</definedName>
    <definedName name="dmg">Inputs!$C$21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" fontId="0" fillId="2" borderId="0" pivotButton="0" quotePrefix="0" xfId="0"/>
    <xf numFmtId="4" fontId="0" fillId="0" borderId="0" pivotButton="0" quotePrefix="0" xfId="0"/>
    <xf numFmtId="4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0" customWidth="1" min="4" max="4"/>
    <col width="12" customWidth="1" min="5" max="5"/>
    <col width="18" customWidth="1" min="6" max="6"/>
    <col width="14" customWidth="1" min="7" max="7"/>
    <col width="16" customWidth="1" min="8" max="8"/>
    <col width="14" customWidth="1" min="9" max="9"/>
    <col width="8" customWidth="1" min="10" max="10"/>
  </cols>
  <sheetData>
    <row r="1">
      <c r="A1" s="1" t="inlineStr">
        <is>
          <t>PRIMARY: one combined RTC action, all sales, Cesar's estate/heirs + all buyers (live formulas)</t>
        </is>
      </c>
    </row>
    <row r="2">
      <c r="A2" t="inlineStr">
        <is>
          <t>Area sqm</t>
        </is>
      </c>
      <c r="B2" s="2" t="n">
        <v>30000</v>
      </c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t="inlineStr">
        <is>
          <t>P/sqm</t>
        </is>
      </c>
      <c r="B3" s="2" t="n">
        <v>3000</v>
      </c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t="inlineStr">
        <is>
          <t>Defendants (buyers + heirs; adjust)</t>
        </is>
      </c>
      <c r="B4" s="2" t="n">
        <v>20</v>
      </c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t="inlineStr">
        <is>
          <t>Titles to annotate/certify</t>
        </is>
      </c>
      <c r="B5" s="2" t="n">
        <v>10</v>
      </c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1" t="inlineStr">
        <is>
          <t>Damages scenario</t>
        </is>
      </c>
      <c r="B7" s="4" t="inlineStr">
        <is>
          <t>Fee base</t>
        </is>
      </c>
      <c r="C7" s="4" t="inlineStr">
        <is>
          <t>Filing fee s7(a)</t>
        </is>
      </c>
      <c r="D7" s="4" t="inlineStr">
        <is>
          <t>LRF</t>
        </is>
      </c>
      <c r="E7" s="4" t="inlineStr">
        <is>
          <t>VCF+Mediation</t>
        </is>
      </c>
      <c r="F7" s="4" t="inlineStr">
        <is>
          <t>Sheriff (summons x defs + deposit)</t>
        </is>
      </c>
      <c r="G7" s="4" t="inlineStr">
        <is>
          <t>Lis pendens + copies</t>
        </is>
      </c>
      <c r="H7" s="4" t="inlineStr">
        <is>
          <t>TOTAL excl. lawyer</t>
        </is>
      </c>
      <c r="I7" s="4" t="inlineStr">
        <is>
          <t>Assessed value</t>
        </is>
      </c>
      <c r="J7" s="4" t="inlineStr">
        <is>
          <t>Court</t>
        </is>
      </c>
    </row>
    <row r="8">
      <c r="A8" s="2" t="n">
        <v>0</v>
      </c>
      <c r="B8" s="3">
        <f>$B$2*$B$3+A8</f>
        <v/>
      </c>
      <c r="C8" s="3">
        <f>IF(B8&lt;100000,1000,IF(B8&lt;150000,1600,IF(B8&lt;200000,2000,IF(B8&lt;250000,3000,IF(B8&lt;300000,3500,IF(B8&lt;350000,4000,IF(B8&lt;=400000,4500,4500+20*ROUNDUP((B8-400000)/1000,0))))))))</f>
        <v/>
      </c>
      <c r="D8" s="3">
        <f>MAX(lrf_min,lrf_pct*C8)</f>
        <v/>
      </c>
      <c r="E8" s="3">
        <f>vcf+mediation</f>
        <v/>
      </c>
      <c r="F8" s="3">
        <f>summons*$B$4+sheriff_trust</f>
        <v/>
      </c>
      <c r="G8" s="3">
        <f>(lis_pendens+cert_page*cert_pages+cert_cert+rd_ctc)*$B$5</f>
        <v/>
      </c>
      <c r="H8" s="3">
        <f>SUM(C8:G8)</f>
        <v/>
      </c>
      <c r="I8" s="3">
        <f>$B$2*$B$3*level</f>
        <v/>
      </c>
      <c r="J8" s="3">
        <f>IF(I8&lt;=mtc_cap,"MTC","RTC")</f>
        <v/>
      </c>
    </row>
    <row r="9">
      <c r="A9" s="2" t="n">
        <v>5000000</v>
      </c>
      <c r="B9" s="3">
        <f>$B$2*$B$3+A9</f>
        <v/>
      </c>
      <c r="C9" s="3">
        <f>IF(B9&lt;100000,1000,IF(B9&lt;150000,1600,IF(B9&lt;200000,2000,IF(B9&lt;250000,3000,IF(B9&lt;300000,3500,IF(B9&lt;350000,4000,IF(B9&lt;=400000,4500,4500+20*ROUNDUP((B9-400000)/1000,0))))))))</f>
        <v/>
      </c>
      <c r="D9" s="3">
        <f>MAX(lrf_min,lrf_pct*C9)</f>
        <v/>
      </c>
      <c r="E9" s="3">
        <f>vcf+mediation</f>
        <v/>
      </c>
      <c r="F9" s="3">
        <f>summons*$B$4+sheriff_trust</f>
        <v/>
      </c>
      <c r="G9" s="3">
        <f>(lis_pendens+cert_page*cert_pages+cert_cert+rd_ctc)*$B$5</f>
        <v/>
      </c>
      <c r="H9" s="3">
        <f>SUM(C9:G9)</f>
        <v/>
      </c>
      <c r="I9" s="3">
        <f>$B$2*$B$3*level</f>
        <v/>
      </c>
      <c r="J9" s="3">
        <f>IF(I9&lt;=mtc_cap,"MTC","RTC")</f>
        <v/>
      </c>
    </row>
    <row r="10">
      <c r="A10" s="2" t="n">
        <v>20000000</v>
      </c>
      <c r="B10" s="3">
        <f>$B$2*$B$3+A10</f>
        <v/>
      </c>
      <c r="C10" s="3">
        <f>IF(B10&lt;100000,1000,IF(B10&lt;150000,1600,IF(B10&lt;200000,2000,IF(B10&lt;250000,3000,IF(B10&lt;300000,3500,IF(B10&lt;350000,4000,IF(B10&lt;=400000,4500,4500+20*ROUNDUP((B10-400000)/1000,0))))))))</f>
        <v/>
      </c>
      <c r="D10" s="3">
        <f>MAX(lrf_min,lrf_pct*C10)</f>
        <v/>
      </c>
      <c r="E10" s="3">
        <f>vcf+mediation</f>
        <v/>
      </c>
      <c r="F10" s="3">
        <f>summons*$B$4+sheriff_trust</f>
        <v/>
      </c>
      <c r="G10" s="3">
        <f>(lis_pendens+cert_page*cert_pages+cert_cert+rd_ctc)*$B$5</f>
        <v/>
      </c>
      <c r="H10" s="3">
        <f>SUM(C10:G10)</f>
        <v/>
      </c>
      <c r="I10" s="3">
        <f>$B$2*$B$3*level</f>
        <v/>
      </c>
      <c r="J10" s="3">
        <f>IF(I10&lt;=mtc_cap,"MTC","RTC")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inlineStr">
        <is>
          <t>Lawyer fees (input)</t>
        </is>
      </c>
      <c r="B12" s="3">
        <f>lawyer</f>
        <v/>
      </c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inlineStr">
        <is>
          <t>Grand total incl. lawyer (P0 damages)</t>
        </is>
      </c>
      <c r="B13" s="3">
        <f>H8+B12</f>
        <v/>
      </c>
      <c r="C13" s="3" t="n"/>
      <c r="D13" s="3" t="n"/>
      <c r="E13" s="3" t="n"/>
      <c r="F13" s="3" t="n"/>
      <c r="G13" s="3" t="n"/>
      <c r="H13" s="3" t="n"/>
      <c r="I13" s="3" t="n"/>
      <c r="J1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13" customWidth="1" min="4" max="4"/>
    <col width="10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  <col width="13" customWidth="1" min="11" max="11"/>
    <col width="16" customWidth="1" min="12" max="12"/>
    <col width="14" customWidth="1" min="13" max="13"/>
  </cols>
  <sheetData>
    <row r="1">
      <c r="A1" s="1" t="inlineStr">
        <is>
          <t>3 ha (30,000 sq m) worked example - all cells are live formulas on Inputs</t>
        </is>
      </c>
    </row>
    <row r="2">
      <c r="A2" s="1" t="inlineStr">
        <is>
          <t>Scenario</t>
        </is>
      </c>
      <c r="B2" s="1" t="inlineStr">
        <is>
          <t>P/sqm</t>
        </is>
      </c>
      <c r="C2" s="1" t="inlineStr">
        <is>
          <t>Total market value</t>
        </is>
      </c>
      <c r="D2" s="1" t="inlineStr">
        <is>
          <t>Combined: AV</t>
        </is>
      </c>
      <c r="E2" s="1" t="inlineStr">
        <is>
          <t>Combined court</t>
        </is>
      </c>
      <c r="F2" s="1" t="inlineStr">
        <is>
          <t>Combined filing fee</t>
        </is>
      </c>
      <c r="G2" s="1" t="inlineStr">
        <is>
          <t>Combined total</t>
        </is>
      </c>
      <c r="H2" s="1" t="inlineStr">
        <is>
          <t>Per-lot value</t>
        </is>
      </c>
      <c r="I2" s="1" t="inlineStr">
        <is>
          <t>Per-lot AV</t>
        </is>
      </c>
      <c r="J2" s="1" t="inlineStr">
        <is>
          <t>Per-lot court</t>
        </is>
      </c>
      <c r="K2" s="1" t="inlineStr">
        <is>
          <t>Per-lot filing fee</t>
        </is>
      </c>
      <c r="L2" s="1" t="inlineStr">
        <is>
          <t>Separate suits total (all lots)</t>
        </is>
      </c>
      <c r="M2" s="1" t="inlineStr">
        <is>
          <t>Extra cost of separate suits</t>
        </is>
      </c>
    </row>
    <row r="3">
      <c r="A3" t="inlineStr">
        <is>
          <t>Low: BIR zonal</t>
        </is>
      </c>
      <c r="B3" s="3">
        <f>pps_lo</f>
        <v/>
      </c>
      <c r="C3" s="3">
        <f>B3*area</f>
        <v/>
      </c>
      <c r="D3" s="3">
        <f>C3*level</f>
        <v/>
      </c>
      <c r="E3" s="3">
        <f>IF(D3&lt;=mtc_cap,"MTC","RTC")</f>
        <v/>
      </c>
      <c r="F3" s="3">
        <f>IF((C3+dmg)&lt;100000,1000,IF((C3+dmg)&lt;150000,1600,IF((C3+dmg)&lt;200000,2000,IF((C3+dmg)&lt;250000,3000,IF((C3+dmg)&lt;300000,3500,IF((C3+dmg)&lt;350000,4000,IF((C3+dmg)&lt;=400000,4500,4500+20*ROUNDUP(((C3+dmg)-400000)/1000,0))))))))</f>
        <v/>
      </c>
      <c r="G3" s="3">
        <f>F3+MAX(lrf_min,lrf_pct*F3)+vcf+mediation+summons*nlots+sheriff_trust+(lis_pendens+cert_page*cert_pages+cert_cert+rd_ctc)*nlots</f>
        <v/>
      </c>
      <c r="H3" s="3">
        <f>C3/nlots</f>
        <v/>
      </c>
      <c r="I3" s="3">
        <f>H3*level</f>
        <v/>
      </c>
      <c r="J3" s="3">
        <f>IF(I3&lt;=mtc_cap,"MTC","RTC")</f>
        <v/>
      </c>
      <c r="K3" s="3">
        <f>IF((H3+dmg/nlots)&lt;100000,1000,IF((H3+dmg/nlots)&lt;150000,1600,IF((H3+dmg/nlots)&lt;200000,2000,IF((H3+dmg/nlots)&lt;250000,3000,IF((H3+dmg/nlots)&lt;300000,3500,IF((H3+dmg/nlots)&lt;350000,4000,IF((H3+dmg/nlots)&lt;=400000,4500,4500+20*ROUNDUP(((H3+dmg/nlots)-400000)/1000,0))))))))</f>
        <v/>
      </c>
      <c r="L3" s="3">
        <f>nlots*(K3+MAX(lrf_min,lrf_pct*K3)+vcf+mediation+summons+sheriff_trust+lis_pendens+cert_page*cert_pages+cert_cert+rd_ctc)</f>
        <v/>
      </c>
      <c r="M3" s="3">
        <f>L3-G3</f>
        <v/>
      </c>
    </row>
    <row r="4">
      <c r="A4" t="inlineStr">
        <is>
          <t>Mid: tax-declaration MV</t>
        </is>
      </c>
      <c r="B4" s="3">
        <f>pps_mid</f>
        <v/>
      </c>
      <c r="C4" s="3">
        <f>B4*area</f>
        <v/>
      </c>
      <c r="D4" s="3">
        <f>C4*level</f>
        <v/>
      </c>
      <c r="E4" s="3">
        <f>IF(D4&lt;=mtc_cap,"MTC","RTC")</f>
        <v/>
      </c>
      <c r="F4" s="3">
        <f>IF((C4+dmg)&lt;100000,1000,IF((C4+dmg)&lt;150000,1600,IF((C4+dmg)&lt;200000,2000,IF((C4+dmg)&lt;250000,3000,IF((C4+dmg)&lt;300000,3500,IF((C4+dmg)&lt;350000,4000,IF((C4+dmg)&lt;=400000,4500,4500+20*ROUNDUP(((C4+dmg)-400000)/1000,0))))))))</f>
        <v/>
      </c>
      <c r="G4" s="3">
        <f>F4+MAX(lrf_min,lrf_pct*F4)+vcf+mediation+summons*nlots+sheriff_trust+(lis_pendens+cert_page*cert_pages+cert_cert+rd_ctc)*nlots</f>
        <v/>
      </c>
      <c r="H4" s="3">
        <f>C4/nlots</f>
        <v/>
      </c>
      <c r="I4" s="3">
        <f>H4*level</f>
        <v/>
      </c>
      <c r="J4" s="3">
        <f>IF(I4&lt;=mtc_cap,"MTC","RTC")</f>
        <v/>
      </c>
      <c r="K4" s="3">
        <f>IF((H4+dmg/nlots)&lt;100000,1000,IF((H4+dmg/nlots)&lt;150000,1600,IF((H4+dmg/nlots)&lt;200000,2000,IF((H4+dmg/nlots)&lt;250000,3000,IF((H4+dmg/nlots)&lt;300000,3500,IF((H4+dmg/nlots)&lt;350000,4000,IF((H4+dmg/nlots)&lt;=400000,4500,4500+20*ROUNDUP(((H4+dmg/nlots)-400000)/1000,0))))))))</f>
        <v/>
      </c>
      <c r="L4" s="3">
        <f>nlots*(K4+MAX(lrf_min,lrf_pct*K4)+vcf+mediation+summons+sheriff_trust+lis_pendens+cert_page*cert_pages+cert_cert+rd_ctc)</f>
        <v/>
      </c>
      <c r="M4" s="3">
        <f>L4-G4</f>
        <v/>
      </c>
    </row>
    <row r="5">
      <c r="A5" t="inlineStr">
        <is>
          <t>High: Jonathan 3,000</t>
        </is>
      </c>
      <c r="B5" s="3">
        <f>pps_hi</f>
        <v/>
      </c>
      <c r="C5" s="3">
        <f>B5*area</f>
        <v/>
      </c>
      <c r="D5" s="3">
        <f>C5*level</f>
        <v/>
      </c>
      <c r="E5" s="3">
        <f>IF(D5&lt;=mtc_cap,"MTC","RTC")</f>
        <v/>
      </c>
      <c r="F5" s="3">
        <f>IF((C5+dmg)&lt;100000,1000,IF((C5+dmg)&lt;150000,1600,IF((C5+dmg)&lt;200000,2000,IF((C5+dmg)&lt;250000,3000,IF((C5+dmg)&lt;300000,3500,IF((C5+dmg)&lt;350000,4000,IF((C5+dmg)&lt;=400000,4500,4500+20*ROUNDUP(((C5+dmg)-400000)/1000,0))))))))</f>
        <v/>
      </c>
      <c r="G5" s="3">
        <f>F5+MAX(lrf_min,lrf_pct*F5)+vcf+mediation+summons*nlots+sheriff_trust+(lis_pendens+cert_page*cert_pages+cert_cert+rd_ctc)*nlots</f>
        <v/>
      </c>
      <c r="H5" s="3">
        <f>C5/nlots</f>
        <v/>
      </c>
      <c r="I5" s="3">
        <f>H5*level</f>
        <v/>
      </c>
      <c r="J5" s="3">
        <f>IF(I5&lt;=mtc_cap,"MTC","RTC")</f>
        <v/>
      </c>
      <c r="K5" s="3">
        <f>IF((H5+dmg/nlots)&lt;100000,1000,IF((H5+dmg/nlots)&lt;150000,1600,IF((H5+dmg/nlots)&lt;200000,2000,IF((H5+dmg/nlots)&lt;250000,3000,IF((H5+dmg/nlots)&lt;300000,3500,IF((H5+dmg/nlots)&lt;350000,4000,IF((H5+dmg/nlots)&lt;=400000,4500,4500+20*ROUNDUP(((H5+dmg/nlots)-400000)/1000,0))))))))</f>
        <v/>
      </c>
      <c r="L5" s="3">
        <f>nlots*(K5+MAX(lrf_min,lrf_pct*K5)+vcf+mediation+summons+sheriff_trust+lis_pendens+cert_page*cert_pages+cert_cert+rd_ctc)</f>
        <v/>
      </c>
      <c r="M5" s="3">
        <f>L5-G5</f>
        <v/>
      </c>
    </row>
    <row r="6"/>
    <row r="7">
      <c r="A7" t="inlineStr">
        <is>
          <t>Excludes lawyer fees (Inputs!lawyer), appeal fees, publication. Lis pendens/RD copies are 0 until filled. MTC fee uses s7(a) schedule as proxy (see explainer).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3" max="3"/>
  </cols>
  <sheetData>
    <row r="1">
      <c r="A1" s="1" t="inlineStr">
        <is>
          <t>Parameter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Assessment level, residential (Mercedes ARP 00256 shows 8%)</t>
        </is>
      </c>
      <c r="B2" t="inlineStr">
        <is>
          <t>level</t>
        </is>
      </c>
      <c r="C2" s="5" t="n">
        <v>0.08</v>
      </c>
    </row>
    <row r="3">
      <c r="A3" t="inlineStr">
        <is>
          <t>MTC ceiling, assessed value (BP 129 s33(3) as amended by RA 11576)</t>
        </is>
      </c>
      <c r="B3" t="inlineStr">
        <is>
          <t>mtc_cap</t>
        </is>
      </c>
      <c r="C3" s="5" t="n">
        <v>400000</v>
      </c>
    </row>
    <row r="4">
      <c r="A4" t="inlineStr">
        <is>
          <t>Legal Research Fund % of filing fee (RA 3870; matches SP 2156 form P20 on P2,000)</t>
        </is>
      </c>
      <c r="B4" t="inlineStr">
        <is>
          <t>lrf_pct</t>
        </is>
      </c>
      <c r="C4" s="5" t="n">
        <v>0.01</v>
      </c>
    </row>
    <row r="5">
      <c r="A5" t="inlineStr">
        <is>
          <t>LRF minimum</t>
        </is>
      </c>
      <c r="B5" t="inlineStr">
        <is>
          <t>lrf_min</t>
        </is>
      </c>
      <c r="C5" s="5" t="n">
        <v>10</v>
      </c>
    </row>
    <row r="6">
      <c r="A6" t="inlineStr">
        <is>
          <t>Victims Compensation Fund per case (SP 2156 form)</t>
        </is>
      </c>
      <c r="B6" t="inlineStr">
        <is>
          <t>vcf</t>
        </is>
      </c>
      <c r="C6" s="5" t="n">
        <v>5</v>
      </c>
    </row>
    <row r="7">
      <c r="A7" t="inlineStr">
        <is>
          <t>Mediation fee, Sec. 9</t>
        </is>
      </c>
      <c r="B7" t="inlineStr">
        <is>
          <t>mediation</t>
        </is>
      </c>
      <c r="C7" s="5" t="n">
        <v>500</v>
      </c>
    </row>
    <row r="8">
      <c r="A8" t="inlineStr">
        <is>
          <t>Sheriff: summons per defendant, Sec. 10(a)</t>
        </is>
      </c>
      <c r="B8" t="inlineStr">
        <is>
          <t>summons</t>
        </is>
      </c>
      <c r="C8" s="5" t="n">
        <v>200</v>
      </c>
    </row>
    <row r="9">
      <c r="A9" t="inlineStr">
        <is>
          <t>Sheriff trust/travel deposit per case [UNVERIFIED estimate - ask clerk]</t>
        </is>
      </c>
      <c r="B9" t="inlineStr">
        <is>
          <t>sheriff_trust</t>
        </is>
      </c>
      <c r="C9" s="5" t="n">
        <v>1000</v>
      </c>
    </row>
    <row r="10">
      <c r="A10" t="inlineStr">
        <is>
          <t>RD lis pendens entry fee per title [UNVERIFIED - fill from RD Daet/LRA schedule]</t>
        </is>
      </c>
      <c r="B10" t="inlineStr">
        <is>
          <t>lis_pendens</t>
        </is>
      </c>
      <c r="C10" s="5" t="n">
        <v>0</v>
      </c>
    </row>
    <row r="11">
      <c r="A11" t="inlineStr">
        <is>
          <t>Court certified copy per page, Sec. 21(d)/8</t>
        </is>
      </c>
      <c r="B11" t="inlineStr">
        <is>
          <t>cert_page</t>
        </is>
      </c>
      <c r="C11" s="5" t="n">
        <v>10</v>
      </c>
    </row>
    <row r="12">
      <c r="A12" t="inlineStr">
        <is>
          <t>Court certification each</t>
        </is>
      </c>
      <c r="B12" t="inlineStr">
        <is>
          <t>cert_cert</t>
        </is>
      </c>
      <c r="C12" s="5" t="n">
        <v>100</v>
      </c>
    </row>
    <row r="13">
      <c r="A13" t="inlineStr">
        <is>
          <t>Pages of court CTCs per lot (assumption)</t>
        </is>
      </c>
      <c r="B13" t="inlineStr">
        <is>
          <t>cert_pages</t>
        </is>
      </c>
      <c r="C13" s="5" t="n">
        <v>30</v>
      </c>
    </row>
    <row r="14">
      <c r="A14" t="inlineStr">
        <is>
          <t>RD certified title/deed copies per lot [UNVERIFIED - fill]</t>
        </is>
      </c>
      <c r="B14" t="inlineStr">
        <is>
          <t>rd_ctc</t>
        </is>
      </c>
      <c r="C14" s="5" t="n">
        <v>0</v>
      </c>
    </row>
    <row r="15">
      <c r="A15" t="inlineStr">
        <is>
          <t>LAWYER FEES (input; not estimated)</t>
        </is>
      </c>
      <c r="B15" t="inlineStr">
        <is>
          <t>lawyer</t>
        </is>
      </c>
      <c r="C15" s="5" t="n">
        <v>0</v>
      </c>
    </row>
    <row r="16">
      <c r="A16" t="inlineStr">
        <is>
          <t>Headline: market value per sq m (Jonathan)</t>
        </is>
      </c>
      <c r="B16" t="inlineStr">
        <is>
          <t>pps_hi</t>
        </is>
      </c>
      <c r="C16" s="5" t="n">
        <v>3000</v>
      </c>
    </row>
    <row r="17">
      <c r="A17" t="inlineStr">
        <is>
          <t>Zonal per sq m (eCAR 201900675224, San Roque/Brgy 1 residential)</t>
        </is>
      </c>
      <c r="B17" t="inlineStr">
        <is>
          <t>pps_lo</t>
        </is>
      </c>
      <c r="C17" s="5" t="n">
        <v>600</v>
      </c>
    </row>
    <row r="18">
      <c r="A18" t="inlineStr">
        <is>
          <t>Tax-declaration market value per sq m (ARP 00256: 2,509,390/2,587)</t>
        </is>
      </c>
      <c r="B18" t="inlineStr">
        <is>
          <t>pps_mid</t>
        </is>
      </c>
      <c r="C18" s="5" t="n">
        <v>970</v>
      </c>
    </row>
    <row r="19">
      <c r="A19" t="inlineStr">
        <is>
          <t>Headline total area sq m</t>
        </is>
      </c>
      <c r="B19" t="inlineStr">
        <is>
          <t>area</t>
        </is>
      </c>
      <c r="C19" s="5" t="n">
        <v>30000</v>
      </c>
    </row>
    <row r="20">
      <c r="A20" t="inlineStr">
        <is>
          <t>Headline: number of separate lots</t>
        </is>
      </c>
      <c r="B20" t="inlineStr">
        <is>
          <t>nlots</t>
        </is>
      </c>
      <c r="C20" s="5" t="n">
        <v>10</v>
      </c>
    </row>
    <row r="21">
      <c r="A21" t="inlineStr">
        <is>
          <t>Headline damages claimed (total)</t>
        </is>
      </c>
      <c r="B21" t="inlineStr">
        <is>
          <t>dmg</t>
        </is>
      </c>
      <c r="C21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4" customWidth="1" min="3" max="3"/>
    <col width="9" customWidth="1" min="4" max="4"/>
    <col width="20" customWidth="1" min="5" max="5"/>
    <col width="11" customWidth="1" min="6" max="6"/>
    <col width="30" customWidth="1" min="7" max="7"/>
    <col width="14" customWidth="1" min="8" max="8"/>
    <col width="9" customWidth="1" min="9" max="9"/>
    <col width="13" customWidth="1" min="10" max="10"/>
    <col width="12" customWidth="1" min="11" max="11"/>
    <col width="13" customWidth="1" min="12" max="12"/>
    <col width="12" customWidth="1" min="13" max="13"/>
    <col width="12" customWidth="1" min="14" max="14"/>
    <col width="30" customWidth="1" min="15" max="15"/>
    <col width="12" customWidth="1" min="16" max="16"/>
    <col width="14" customWidth="1" min="17" max="17"/>
    <col width="13" customWidth="1" min="18" max="18"/>
    <col width="9" customWidth="1" min="19" max="19"/>
    <col width="6" customWidth="1" min="20" max="20"/>
    <col width="9" customWidth="1" min="21" max="21"/>
    <col width="6" customWidth="1" min="22" max="22"/>
    <col width="9" customWidth="1" min="23" max="23"/>
    <col width="9" customWidth="1" min="24" max="24"/>
    <col width="10" customWidth="1" min="25" max="25"/>
    <col width="14" customWidth="1" min="26" max="26"/>
    <col width="60" customWidth="1" min="27" max="27"/>
    <col width="45" customWidth="1" min="28" max="28"/>
  </cols>
  <sheetData>
    <row r="1">
      <c r="A1" s="1" t="inlineStr">
        <is>
          <t>ID</t>
        </is>
      </c>
      <c r="B1" s="1" t="inlineStr">
        <is>
          <t>Title no.</t>
        </is>
      </c>
      <c r="C1" s="1" t="inlineStr">
        <is>
          <t>Lot</t>
        </is>
      </c>
      <c r="D1" s="1" t="inlineStr">
        <is>
          <t>Area sqm</t>
        </is>
      </c>
      <c r="E1" s="1" t="inlineStr">
        <is>
          <t>Buyer</t>
        </is>
      </c>
      <c r="F1" s="1" t="inlineStr">
        <is>
          <t>Deed date</t>
        </is>
      </c>
      <c r="G1" s="1" t="inlineStr">
        <is>
          <t>Source</t>
        </is>
      </c>
      <c r="H1" s="1" t="inlineStr">
        <is>
          <t>TD market value</t>
        </is>
      </c>
      <c r="I1" s="1" t="inlineStr">
        <is>
          <t>Zonal /sqm</t>
        </is>
      </c>
      <c r="J1" s="1" t="inlineStr">
        <is>
          <t>Zonal value</t>
        </is>
      </c>
      <c r="K1" s="1" t="inlineStr">
        <is>
          <t>Stated value (if no TD/zonal)</t>
        </is>
      </c>
      <c r="L1" s="1" t="inlineStr">
        <is>
          <t>Assessed value (TD)</t>
        </is>
      </c>
      <c r="M1" s="1" t="inlineStr">
        <is>
          <t>AV used</t>
        </is>
      </c>
      <c r="N1" s="1" t="inlineStr">
        <is>
          <t>Court</t>
        </is>
      </c>
      <c r="O1" s="1" t="inlineStr">
        <is>
          <t>Causes</t>
        </is>
      </c>
      <c r="P1" s="1" t="inlineStr">
        <is>
          <t>Damages claimed</t>
        </is>
      </c>
      <c r="Q1" s="1" t="inlineStr">
        <is>
          <t>Fee base</t>
        </is>
      </c>
      <c r="R1" s="1" t="inlineStr">
        <is>
          <t>Filing fee s7(a)</t>
        </is>
      </c>
      <c r="S1" s="1" t="inlineStr">
        <is>
          <t>LRF</t>
        </is>
      </c>
      <c r="T1" s="1" t="inlineStr">
        <is>
          <t>VCF</t>
        </is>
      </c>
      <c r="U1" s="1" t="inlineStr">
        <is>
          <t>Mediation</t>
        </is>
      </c>
      <c r="V1" s="1" t="inlineStr">
        <is>
          <t>Defendants</t>
        </is>
      </c>
      <c r="W1" s="1" t="inlineStr">
        <is>
          <t>Sheriff</t>
        </is>
      </c>
      <c r="X1" s="1" t="inlineStr">
        <is>
          <t>Lis pendens</t>
        </is>
      </c>
      <c r="Y1" s="1" t="inlineStr">
        <is>
          <t>Certified copies</t>
        </is>
      </c>
      <c r="Z1" s="1" t="inlineStr">
        <is>
          <t>Total (excl. lawyer)</t>
        </is>
      </c>
      <c r="AA1" s="1" t="inlineStr">
        <is>
          <t>Prescription triage</t>
        </is>
      </c>
      <c r="AB1" s="1" t="inlineStr">
        <is>
          <t>Flags / missing</t>
        </is>
      </c>
    </row>
    <row r="2">
      <c r="A2" t="inlineStr">
        <is>
          <t>S1</t>
        </is>
      </c>
      <c r="B2" t="inlineStr">
        <is>
          <t>TCT 079-2021002126 (from T-52540)</t>
        </is>
      </c>
      <c r="C2" t="inlineStr">
        <is>
          <t>Lot 2-X-6-I-4-C-1</t>
        </is>
      </c>
      <c r="D2" s="3" t="n">
        <v>2587</v>
      </c>
      <c r="E2" t="inlineStr">
        <is>
          <t>Gloria Hansol Balane</t>
        </is>
      </c>
      <c r="F2" t="inlineStr">
        <is>
          <t>2016-09-29</t>
        </is>
      </c>
      <c r="G2" t="inlineStr">
        <is>
          <t>ARP GR-2023-II-07-001-00256 (dossier Annex); eCAR 201900675224</t>
        </is>
      </c>
      <c r="H2" s="2" t="n">
        <v>2509390</v>
      </c>
      <c r="I2" s="2" t="n">
        <v>600</v>
      </c>
      <c r="J2" s="3">
        <f>IF(AND(ISNUMBER(D2),ISNUMBER(I2)),D2*I2,"")</f>
        <v/>
      </c>
      <c r="K2" s="5" t="n"/>
      <c r="L2" s="2" t="n">
        <v>200750</v>
      </c>
      <c r="M2" s="3">
        <f>IF(ISNUMBER(L2),L2,IF(ISNUMBER(H2),H2*level,""))</f>
        <v/>
      </c>
      <c r="N2" s="3">
        <f>IF(M2="","NEEDS VALUE",IF(M2&lt;=mtc_cap,"MTC","RTC"))</f>
        <v/>
      </c>
      <c r="O2" t="inlineStr">
        <is>
          <t>Annulment/declaration of nullity + reconveyance/cancellation of title + damages</t>
        </is>
      </c>
      <c r="P2" s="2" t="n">
        <v>0</v>
      </c>
      <c r="Q2" s="3">
        <f>IF(AND(N(H2)=0,N(J2)=0,N(K2)=0),"",IF(MAX(N(H2),N(J2))&gt;0,MAX(N(H2),N(J2)),N(K2))+N(P2))</f>
        <v/>
      </c>
      <c r="R2" s="3">
        <f>IF(Q2="","",IF(Q2&lt;100000,1000,IF(Q2&lt;150000,1600,IF(Q2&lt;200000,2000,IF(Q2&lt;250000,3000,IF(Q2&lt;300000,3500,IF(Q2&lt;350000,4000,IF(Q2&lt;=400000,4500,4500+20*ROUNDUP((Q2-400000)/1000,0)))))))))</f>
        <v/>
      </c>
      <c r="S2" s="3">
        <f>IF(R2="","",MAX(lrf_min,lrf_pct*R2))</f>
        <v/>
      </c>
      <c r="T2" s="3">
        <f>IF(R2="","",vcf)</f>
        <v/>
      </c>
      <c r="U2" s="3">
        <f>IF(R2="","",mediation)</f>
        <v/>
      </c>
      <c r="V2" s="3" t="n">
        <v>1</v>
      </c>
      <c r="W2" s="3">
        <f>summons*V2+sheriff_trust</f>
        <v/>
      </c>
      <c r="X2" s="3">
        <f>lis_pendens</f>
        <v/>
      </c>
      <c r="Y2" s="3">
        <f>cert_page*cert_pages+cert_cert+rd_ctc</f>
        <v/>
      </c>
      <c r="Z2" s="3">
        <f>IF(R2="","NEEDS VALUE",SUM(R2:U2,W2:Y2))</f>
        <v/>
      </c>
      <c r="AA2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2" t="inlineStr">
        <is>
          <t>Already filed as 26-360 (MTC Mercedes). Zonal 1,552,200/2,587 = 600/sqm.</t>
        </is>
      </c>
    </row>
    <row r="3">
      <c r="A3" t="inlineStr">
        <is>
          <t>S2</t>
        </is>
      </c>
      <c r="B3" t="inlineStr">
        <is>
          <t>T-52540 memo PE-290350 (15 Sep 2005)</t>
        </is>
      </c>
      <c r="C3" t="inlineStr">
        <is>
          <t>Lot 2-X-6-I-4-C-2, Psd-05-026197</t>
        </is>
      </c>
      <c r="D3" t="inlineStr"/>
      <c r="E3" t="inlineStr">
        <is>
          <t>Mariquita A. Era</t>
        </is>
      </c>
      <c r="F3" t="inlineStr">
        <is>
          <t>2005-04-28</t>
        </is>
      </c>
      <c r="G3" t="inlineStr">
        <is>
          <t>Exh. B p.3; price P70,000</t>
        </is>
      </c>
      <c r="H3" s="5" t="n"/>
      <c r="I3" s="5" t="n"/>
      <c r="J3" s="3">
        <f>IF(AND(ISNUMBER(D3),ISNUMBER(I3)),D3*I3,"")</f>
        <v/>
      </c>
      <c r="K3" s="5" t="n"/>
      <c r="L3" s="5" t="n"/>
      <c r="M3" s="3">
        <f>IF(ISNUMBER(L3),L3,IF(ISNUMBER(H3),H3*level,""))</f>
        <v/>
      </c>
      <c r="N3" s="3">
        <f>IF(M3="","NEEDS VALUE",IF(M3&lt;=mtc_cap,"MTC","RTC"))</f>
        <v/>
      </c>
      <c r="O3" t="inlineStr">
        <is>
          <t>Annulment/declaration of nullity + reconveyance/cancellation of title + damages</t>
        </is>
      </c>
      <c r="P3" s="2" t="n">
        <v>0</v>
      </c>
      <c r="Q3" s="3">
        <f>IF(AND(N(H3)=0,N(J3)=0,N(K3)=0),"",IF(MAX(N(H3),N(J3))&gt;0,MAX(N(H3),N(J3)),N(K3))+N(P3))</f>
        <v/>
      </c>
      <c r="R3" s="3">
        <f>IF(Q3="","",IF(Q3&lt;100000,1000,IF(Q3&lt;150000,1600,IF(Q3&lt;200000,2000,IF(Q3&lt;250000,3000,IF(Q3&lt;300000,3500,IF(Q3&lt;350000,4000,IF(Q3&lt;=400000,4500,4500+20*ROUNDUP((Q3-400000)/1000,0)))))))))</f>
        <v/>
      </c>
      <c r="S3" s="3">
        <f>IF(R3="","",MAX(lrf_min,lrf_pct*R3))</f>
        <v/>
      </c>
      <c r="T3" s="3">
        <f>IF(R3="","",vcf)</f>
        <v/>
      </c>
      <c r="U3" s="3">
        <f>IF(R3="","",mediation)</f>
        <v/>
      </c>
      <c r="V3" s="3" t="n">
        <v>1</v>
      </c>
      <c r="W3" s="3">
        <f>summons*V3+sheriff_trust</f>
        <v/>
      </c>
      <c r="X3" s="3">
        <f>lis_pendens</f>
        <v/>
      </c>
      <c r="Y3" s="3">
        <f>cert_page*cert_pages+cert_cert+rd_ctc</f>
        <v/>
      </c>
      <c r="Z3" s="3">
        <f>IF(R3="","NEEDS VALUE",SUM(R3:U3,W3:Y3))</f>
        <v/>
      </c>
      <c r="AA3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3" t="inlineStr">
        <is>
          <t>Area, TD value unknown. Pre-revocation (15 Aug 2005).</t>
        </is>
      </c>
    </row>
    <row r="4">
      <c r="A4" t="inlineStr">
        <is>
          <t>S3</t>
        </is>
      </c>
      <c r="B4" t="inlineStr">
        <is>
          <t>?</t>
        </is>
      </c>
      <c r="C4" t="inlineStr">
        <is>
          <t>?</t>
        </is>
      </c>
      <c r="D4" t="inlineStr"/>
      <c r="E4" t="inlineStr">
        <is>
          <t>Hansol</t>
        </is>
      </c>
      <c r="F4" t="inlineStr">
        <is>
          <t>1999</t>
        </is>
      </c>
      <c r="G4" t="inlineStr">
        <is>
          <t>Def. Exh. 4 [VERIFY]; Delafuente signatures.pdf</t>
        </is>
      </c>
      <c r="H4" s="5" t="n"/>
      <c r="I4" s="5" t="n"/>
      <c r="J4" s="3">
        <f>IF(AND(ISNUMBER(D4),ISNUMBER(I4)),D4*I4,"")</f>
        <v/>
      </c>
      <c r="K4" s="5" t="n"/>
      <c r="L4" s="5" t="n"/>
      <c r="M4" s="3">
        <f>IF(ISNUMBER(L4),L4,IF(ISNUMBER(H4),H4*level,""))</f>
        <v/>
      </c>
      <c r="N4" s="3">
        <f>IF(M4="","NEEDS VALUE",IF(M4&lt;=mtc_cap,"MTC","RTC"))</f>
        <v/>
      </c>
      <c r="O4" t="inlineStr">
        <is>
          <t>Annulment/declaration of nullity + reconveyance/cancellation of title + damages</t>
        </is>
      </c>
      <c r="P4" s="2" t="n">
        <v>0</v>
      </c>
      <c r="Q4" s="3">
        <f>IF(AND(N(H4)=0,N(J4)=0,N(K4)=0),"",IF(MAX(N(H4),N(J4))&gt;0,MAX(N(H4),N(J4)),N(K4))+N(P4))</f>
        <v/>
      </c>
      <c r="R4" s="3">
        <f>IF(Q4="","",IF(Q4&lt;100000,1000,IF(Q4&lt;150000,1600,IF(Q4&lt;200000,2000,IF(Q4&lt;250000,3000,IF(Q4&lt;300000,3500,IF(Q4&lt;350000,4000,IF(Q4&lt;=400000,4500,4500+20*ROUNDUP((Q4-400000)/1000,0)))))))))</f>
        <v/>
      </c>
      <c r="S4" s="3">
        <f>IF(R4="","",MAX(lrf_min,lrf_pct*R4))</f>
        <v/>
      </c>
      <c r="T4" s="3">
        <f>IF(R4="","",vcf)</f>
        <v/>
      </c>
      <c r="U4" s="3">
        <f>IF(R4="","",mediation)</f>
        <v/>
      </c>
      <c r="V4" s="3" t="n">
        <v>1</v>
      </c>
      <c r="W4" s="3">
        <f>summons*V4+sheriff_trust</f>
        <v/>
      </c>
      <c r="X4" s="3">
        <f>lis_pendens</f>
        <v/>
      </c>
      <c r="Y4" s="3">
        <f>cert_page*cert_pages+cert_cert+rd_ctc</f>
        <v/>
      </c>
      <c r="Z4" s="3">
        <f>IF(R4="","NEEDS VALUE",SUM(R4:U4,W4:Y4))</f>
        <v/>
      </c>
      <c r="AA4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4" t="inlineStr">
        <is>
          <t>Values unknown; 1991 SPA.</t>
        </is>
      </c>
    </row>
    <row r="5">
      <c r="A5" t="inlineStr">
        <is>
          <t>S4</t>
        </is>
      </c>
      <c r="B5" t="inlineStr">
        <is>
          <t>?</t>
        </is>
      </c>
      <c r="C5" t="inlineStr">
        <is>
          <t>?</t>
        </is>
      </c>
      <c r="D5" t="inlineStr"/>
      <c r="E5" t="inlineStr">
        <is>
          <t>Nacasa</t>
        </is>
      </c>
      <c r="F5" t="inlineStr">
        <is>
          <t>2002</t>
        </is>
      </c>
      <c r="G5" t="inlineStr">
        <is>
          <t>Delafuente signatures.pdf</t>
        </is>
      </c>
      <c r="H5" s="5" t="n"/>
      <c r="I5" s="5" t="n"/>
      <c r="J5" s="3">
        <f>IF(AND(ISNUMBER(D5),ISNUMBER(I5)),D5*I5,"")</f>
        <v/>
      </c>
      <c r="K5" s="5" t="n"/>
      <c r="L5" s="5" t="n"/>
      <c r="M5" s="3">
        <f>IF(ISNUMBER(L5),L5,IF(ISNUMBER(H5),H5*level,""))</f>
        <v/>
      </c>
      <c r="N5" s="3">
        <f>IF(M5="","NEEDS VALUE",IF(M5&lt;=mtc_cap,"MTC","RTC"))</f>
        <v/>
      </c>
      <c r="O5" t="inlineStr">
        <is>
          <t>Annulment/declaration of nullity + reconveyance/cancellation of title + damages</t>
        </is>
      </c>
      <c r="P5" s="2" t="n">
        <v>0</v>
      </c>
      <c r="Q5" s="3">
        <f>IF(AND(N(H5)=0,N(J5)=0,N(K5)=0),"",IF(MAX(N(H5),N(J5))&gt;0,MAX(N(H5),N(J5)),N(K5))+N(P5))</f>
        <v/>
      </c>
      <c r="R5" s="3">
        <f>IF(Q5="","",IF(Q5&lt;100000,1000,IF(Q5&lt;150000,1600,IF(Q5&lt;200000,2000,IF(Q5&lt;250000,3000,IF(Q5&lt;300000,3500,IF(Q5&lt;350000,4000,IF(Q5&lt;=400000,4500,4500+20*ROUNDUP((Q5-400000)/1000,0)))))))))</f>
        <v/>
      </c>
      <c r="S5" s="3">
        <f>IF(R5="","",MAX(lrf_min,lrf_pct*R5))</f>
        <v/>
      </c>
      <c r="T5" s="3">
        <f>IF(R5="","",vcf)</f>
        <v/>
      </c>
      <c r="U5" s="3">
        <f>IF(R5="","",mediation)</f>
        <v/>
      </c>
      <c r="V5" s="3" t="n">
        <v>1</v>
      </c>
      <c r="W5" s="3">
        <f>summons*V5+sheriff_trust</f>
        <v/>
      </c>
      <c r="X5" s="3">
        <f>lis_pendens</f>
        <v/>
      </c>
      <c r="Y5" s="3">
        <f>cert_page*cert_pages+cert_cert+rd_ctc</f>
        <v/>
      </c>
      <c r="Z5" s="3">
        <f>IF(R5="","NEEDS VALUE",SUM(R5:U5,W5:Y5))</f>
        <v/>
      </c>
      <c r="AA5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5" t="inlineStr">
        <is>
          <t>Values unknown</t>
        </is>
      </c>
    </row>
    <row r="6">
      <c r="A6" t="inlineStr">
        <is>
          <t>S5</t>
        </is>
      </c>
      <c r="B6" t="inlineStr">
        <is>
          <t>?</t>
        </is>
      </c>
      <c r="C6" t="inlineStr">
        <is>
          <t>?</t>
        </is>
      </c>
      <c r="D6" t="inlineStr"/>
      <c r="E6" t="inlineStr">
        <is>
          <t>Pascual</t>
        </is>
      </c>
      <c r="F6" t="inlineStr">
        <is>
          <t>1998</t>
        </is>
      </c>
      <c r="G6" t="inlineStr">
        <is>
          <t>Delafuente signatures.pdf</t>
        </is>
      </c>
      <c r="H6" s="5" t="n"/>
      <c r="I6" s="5" t="n"/>
      <c r="J6" s="3">
        <f>IF(AND(ISNUMBER(D6),ISNUMBER(I6)),D6*I6,"")</f>
        <v/>
      </c>
      <c r="K6" s="5" t="n"/>
      <c r="L6" s="5" t="n"/>
      <c r="M6" s="3">
        <f>IF(ISNUMBER(L6),L6,IF(ISNUMBER(H6),H6*level,""))</f>
        <v/>
      </c>
      <c r="N6" s="3">
        <f>IF(M6="","NEEDS VALUE",IF(M6&lt;=mtc_cap,"MTC","RTC"))</f>
        <v/>
      </c>
      <c r="O6" t="inlineStr">
        <is>
          <t>Annulment/declaration of nullity + reconveyance/cancellation of title + damages</t>
        </is>
      </c>
      <c r="P6" s="2" t="n">
        <v>0</v>
      </c>
      <c r="Q6" s="3">
        <f>IF(AND(N(H6)=0,N(J6)=0,N(K6)=0),"",IF(MAX(N(H6),N(J6))&gt;0,MAX(N(H6),N(J6)),N(K6))+N(P6))</f>
        <v/>
      </c>
      <c r="R6" s="3">
        <f>IF(Q6="","",IF(Q6&lt;100000,1000,IF(Q6&lt;150000,1600,IF(Q6&lt;200000,2000,IF(Q6&lt;250000,3000,IF(Q6&lt;300000,3500,IF(Q6&lt;350000,4000,IF(Q6&lt;=400000,4500,4500+20*ROUNDUP((Q6-400000)/1000,0)))))))))</f>
        <v/>
      </c>
      <c r="S6" s="3">
        <f>IF(R6="","",MAX(lrf_min,lrf_pct*R6))</f>
        <v/>
      </c>
      <c r="T6" s="3">
        <f>IF(R6="","",vcf)</f>
        <v/>
      </c>
      <c r="U6" s="3">
        <f>IF(R6="","",mediation)</f>
        <v/>
      </c>
      <c r="V6" s="3" t="n">
        <v>1</v>
      </c>
      <c r="W6" s="3">
        <f>summons*V6+sheriff_trust</f>
        <v/>
      </c>
      <c r="X6" s="3">
        <f>lis_pendens</f>
        <v/>
      </c>
      <c r="Y6" s="3">
        <f>cert_page*cert_pages+cert_cert+rd_ctc</f>
        <v/>
      </c>
      <c r="Z6" s="3">
        <f>IF(R6="","NEEDS VALUE",SUM(R6:U6,W6:Y6))</f>
        <v/>
      </c>
      <c r="AA6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6" t="inlineStr">
        <is>
          <t>Values unknown</t>
        </is>
      </c>
    </row>
    <row r="7">
      <c r="A7" t="inlineStr">
        <is>
          <t>S6</t>
        </is>
      </c>
      <c r="B7" t="inlineStr">
        <is>
          <t>?</t>
        </is>
      </c>
      <c r="C7" t="inlineStr">
        <is>
          <t>?</t>
        </is>
      </c>
      <c r="D7" t="inlineStr"/>
      <c r="E7" t="inlineStr">
        <is>
          <t>Victa</t>
        </is>
      </c>
      <c r="F7" t="inlineStr">
        <is>
          <t>2004</t>
        </is>
      </c>
      <c r="G7" t="inlineStr">
        <is>
          <t>Delafuente signatures.pdf</t>
        </is>
      </c>
      <c r="H7" s="5" t="n"/>
      <c r="I7" s="5" t="n"/>
      <c r="J7" s="3">
        <f>IF(AND(ISNUMBER(D7),ISNUMBER(I7)),D7*I7,"")</f>
        <v/>
      </c>
      <c r="K7" s="5" t="n"/>
      <c r="L7" s="5" t="n"/>
      <c r="M7" s="3">
        <f>IF(ISNUMBER(L7),L7,IF(ISNUMBER(H7),H7*level,""))</f>
        <v/>
      </c>
      <c r="N7" s="3">
        <f>IF(M7="","NEEDS VALUE",IF(M7&lt;=mtc_cap,"MTC","RTC"))</f>
        <v/>
      </c>
      <c r="O7" t="inlineStr">
        <is>
          <t>Annulment/declaration of nullity + reconveyance/cancellation of title + damages</t>
        </is>
      </c>
      <c r="P7" s="2" t="n">
        <v>0</v>
      </c>
      <c r="Q7" s="3">
        <f>IF(AND(N(H7)=0,N(J7)=0,N(K7)=0),"",IF(MAX(N(H7),N(J7))&gt;0,MAX(N(H7),N(J7)),N(K7))+N(P7))</f>
        <v/>
      </c>
      <c r="R7" s="3">
        <f>IF(Q7="","",IF(Q7&lt;100000,1000,IF(Q7&lt;150000,1600,IF(Q7&lt;200000,2000,IF(Q7&lt;250000,3000,IF(Q7&lt;300000,3500,IF(Q7&lt;350000,4000,IF(Q7&lt;=400000,4500,4500+20*ROUNDUP((Q7-400000)/1000,0)))))))))</f>
        <v/>
      </c>
      <c r="S7" s="3">
        <f>IF(R7="","",MAX(lrf_min,lrf_pct*R7))</f>
        <v/>
      </c>
      <c r="T7" s="3">
        <f>IF(R7="","",vcf)</f>
        <v/>
      </c>
      <c r="U7" s="3">
        <f>IF(R7="","",mediation)</f>
        <v/>
      </c>
      <c r="V7" s="3" t="n">
        <v>1</v>
      </c>
      <c r="W7" s="3">
        <f>summons*V7+sheriff_trust</f>
        <v/>
      </c>
      <c r="X7" s="3">
        <f>lis_pendens</f>
        <v/>
      </c>
      <c r="Y7" s="3">
        <f>cert_page*cert_pages+cert_cert+rd_ctc</f>
        <v/>
      </c>
      <c r="Z7" s="3">
        <f>IF(R7="","NEEDS VALUE",SUM(R7:U7,W7:Y7))</f>
        <v/>
      </c>
      <c r="AA7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7" t="inlineStr">
        <is>
          <t>Values unknown (2004 &amp; 2007 papers)</t>
        </is>
      </c>
    </row>
    <row r="8">
      <c r="A8" t="inlineStr">
        <is>
          <t>S7</t>
        </is>
      </c>
      <c r="B8" t="inlineStr">
        <is>
          <t>?</t>
        </is>
      </c>
      <c r="C8" t="inlineStr">
        <is>
          <t>?</t>
        </is>
      </c>
      <c r="D8" t="inlineStr"/>
      <c r="E8" t="inlineStr">
        <is>
          <t>Ramirez</t>
        </is>
      </c>
      <c r="F8" t="inlineStr">
        <is>
          <t>1996</t>
        </is>
      </c>
      <c r="G8" t="inlineStr">
        <is>
          <t>Delafuente signatures.pdf</t>
        </is>
      </c>
      <c r="H8" s="5" t="n"/>
      <c r="I8" s="5" t="n"/>
      <c r="J8" s="3">
        <f>IF(AND(ISNUMBER(D8),ISNUMBER(I8)),D8*I8,"")</f>
        <v/>
      </c>
      <c r="K8" s="5" t="n"/>
      <c r="L8" s="5" t="n"/>
      <c r="M8" s="3">
        <f>IF(ISNUMBER(L8),L8,IF(ISNUMBER(H8),H8*level,""))</f>
        <v/>
      </c>
      <c r="N8" s="3">
        <f>IF(M8="","NEEDS VALUE",IF(M8&lt;=mtc_cap,"MTC","RTC"))</f>
        <v/>
      </c>
      <c r="O8" t="inlineStr">
        <is>
          <t>Annulment/declaration of nullity + reconveyance/cancellation of title + damages</t>
        </is>
      </c>
      <c r="P8" s="2" t="n">
        <v>0</v>
      </c>
      <c r="Q8" s="3">
        <f>IF(AND(N(H8)=0,N(J8)=0,N(K8)=0),"",IF(MAX(N(H8),N(J8))&gt;0,MAX(N(H8),N(J8)),N(K8))+N(P8))</f>
        <v/>
      </c>
      <c r="R8" s="3">
        <f>IF(Q8="","",IF(Q8&lt;100000,1000,IF(Q8&lt;150000,1600,IF(Q8&lt;200000,2000,IF(Q8&lt;250000,3000,IF(Q8&lt;300000,3500,IF(Q8&lt;350000,4000,IF(Q8&lt;=400000,4500,4500+20*ROUNDUP((Q8-400000)/1000,0)))))))))</f>
        <v/>
      </c>
      <c r="S8" s="3">
        <f>IF(R8="","",MAX(lrf_min,lrf_pct*R8))</f>
        <v/>
      </c>
      <c r="T8" s="3">
        <f>IF(R8="","",vcf)</f>
        <v/>
      </c>
      <c r="U8" s="3">
        <f>IF(R8="","",mediation)</f>
        <v/>
      </c>
      <c r="V8" s="3" t="n">
        <v>1</v>
      </c>
      <c r="W8" s="3">
        <f>summons*V8+sheriff_trust</f>
        <v/>
      </c>
      <c r="X8" s="3">
        <f>lis_pendens</f>
        <v/>
      </c>
      <c r="Y8" s="3">
        <f>cert_page*cert_pages+cert_cert+rd_ctc</f>
        <v/>
      </c>
      <c r="Z8" s="3">
        <f>IF(R8="","NEEDS VALUE",SUM(R8:U8,W8:Y8))</f>
        <v/>
      </c>
      <c r="AA8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8" t="inlineStr">
        <is>
          <t>Values unknown</t>
        </is>
      </c>
    </row>
    <row r="9">
      <c r="A9" t="inlineStr">
        <is>
          <t>S8</t>
        </is>
      </c>
      <c r="B9" t="inlineStr">
        <is>
          <t>?</t>
        </is>
      </c>
      <c r="C9" t="inlineStr">
        <is>
          <t>?</t>
        </is>
      </c>
      <c r="D9" t="inlineStr"/>
      <c r="E9" t="inlineStr">
        <is>
          <t>Vela</t>
        </is>
      </c>
      <c r="F9" t="inlineStr">
        <is>
          <t>2000</t>
        </is>
      </c>
      <c r="G9" t="inlineStr">
        <is>
          <t>Delafuente signatures.pdf</t>
        </is>
      </c>
      <c r="H9" s="5" t="n"/>
      <c r="I9" s="5" t="n"/>
      <c r="J9" s="3">
        <f>IF(AND(ISNUMBER(D9),ISNUMBER(I9)),D9*I9,"")</f>
        <v/>
      </c>
      <c r="K9" s="5" t="n"/>
      <c r="L9" s="5" t="n"/>
      <c r="M9" s="3">
        <f>IF(ISNUMBER(L9),L9,IF(ISNUMBER(H9),H9*level,""))</f>
        <v/>
      </c>
      <c r="N9" s="3">
        <f>IF(M9="","NEEDS VALUE",IF(M9&lt;=mtc_cap,"MTC","RTC"))</f>
        <v/>
      </c>
      <c r="O9" t="inlineStr">
        <is>
          <t>Annulment/declaration of nullity + reconveyance/cancellation of title + damages</t>
        </is>
      </c>
      <c r="P9" s="2" t="n">
        <v>0</v>
      </c>
      <c r="Q9" s="3">
        <f>IF(AND(N(H9)=0,N(J9)=0,N(K9)=0),"",IF(MAX(N(H9),N(J9))&gt;0,MAX(N(H9),N(J9)),N(K9))+N(P9))</f>
        <v/>
      </c>
      <c r="R9" s="3">
        <f>IF(Q9="","",IF(Q9&lt;100000,1000,IF(Q9&lt;150000,1600,IF(Q9&lt;200000,2000,IF(Q9&lt;250000,3000,IF(Q9&lt;300000,3500,IF(Q9&lt;350000,4000,IF(Q9&lt;=400000,4500,4500+20*ROUNDUP((Q9-400000)/1000,0)))))))))</f>
        <v/>
      </c>
      <c r="S9" s="3">
        <f>IF(R9="","",MAX(lrf_min,lrf_pct*R9))</f>
        <v/>
      </c>
      <c r="T9" s="3">
        <f>IF(R9="","",vcf)</f>
        <v/>
      </c>
      <c r="U9" s="3">
        <f>IF(R9="","",mediation)</f>
        <v/>
      </c>
      <c r="V9" s="3" t="n">
        <v>1</v>
      </c>
      <c r="W9" s="3">
        <f>summons*V9+sheriff_trust</f>
        <v/>
      </c>
      <c r="X9" s="3">
        <f>lis_pendens</f>
        <v/>
      </c>
      <c r="Y9" s="3">
        <f>cert_page*cert_pages+cert_cert+rd_ctc</f>
        <v/>
      </c>
      <c r="Z9" s="3">
        <f>IF(R9="","NEEDS VALUE",SUM(R9:U9,W9:Y9))</f>
        <v/>
      </c>
      <c r="AA9" t="inlineStr">
        <is>
          <t>If void (Art. 1409/1410): action to declare inexistence does not prescribe. Reconveyance on implied trust (Art. 1456 + Art. 1144): 10 yrs from registration; plaintiff in actual possession: treated as quieting of title (confirm with counsel).</t>
        </is>
      </c>
      <c r="AB9" t="inlineStr">
        <is>
          <t>Values unknown</t>
        </is>
      </c>
    </row>
    <row r="10"/>
    <row r="11">
      <c r="A11" t="inlineStr">
        <is>
          <t>JOINDER</t>
        </is>
      </c>
      <c r="B11" t="inlineStr">
        <is>
          <t>One complaint, all seed lots with values (Rule 3 s6 permissive joinder; only if same series of transactions + common question - counsel to confirm)</t>
        </is>
      </c>
    </row>
    <row r="12">
      <c r="Q12" s="3">
        <f>SUM(Q2:Q9)</f>
        <v/>
      </c>
      <c r="R12" s="3">
        <f>IF(Q12&lt;100000,1000,IF(Q12&lt;150000,1600,IF(Q12&lt;200000,2000,IF(Q12&lt;250000,3000,IF(Q12&lt;300000,3500,IF(Q12&lt;350000,4000,IF(Q12&lt;=400000,4500,4500+20*ROUNDUP((Q12-400000)/1000,0))))))))</f>
        <v/>
      </c>
      <c r="S12" s="3">
        <f>MAX(lrf_min,lrf_pct*R12)</f>
        <v/>
      </c>
      <c r="T12" s="3">
        <f>vcf</f>
        <v/>
      </c>
      <c r="U12" s="3">
        <f>mediation</f>
        <v/>
      </c>
      <c r="V12" s="3">
        <f>SUMPRODUCT(ISNUMBER(R2:R9)*V2:V9)</f>
        <v/>
      </c>
      <c r="W12" s="3">
        <f>summons*V12+sheriff_trust</f>
        <v/>
      </c>
      <c r="X12" s="3">
        <f>lis_pendens*COUNT(R2:R9)</f>
        <v/>
      </c>
      <c r="Y12" s="3">
        <f>(cert_page*cert_pages+cert_cert+rd_ctc)*COUNT(R2:R9)</f>
        <v/>
      </c>
      <c r="Z12" s="3">
        <f>SUM(R12:U12,W12:Y12)</f>
        <v/>
      </c>
    </row>
    <row r="13"/>
    <row r="14">
      <c r="A14" t="inlineStr"/>
      <c r="B14" t="inlineStr">
        <is>
          <t>Lawyer fees (input)</t>
        </is>
      </c>
      <c r="Z14" s="3">
        <f>lawyer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2026-10-16T14:47:15Z</dcterms:created>
  <dcterms:modified xmlns:dcterms="http://purl.org/dc/terms/" xmlns:xsi="http://www.w3.org/2001/XMLSchema-instance" xsi:type="dcterms:W3CDTF">2026-10-16T14:47:15Z</dcterms:modified>
</cp:coreProperties>
</file>