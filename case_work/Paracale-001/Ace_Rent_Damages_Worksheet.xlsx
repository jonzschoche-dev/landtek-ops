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nila Units" sheetId="2" state="visible" r:id="rId4"/>
    <sheet name="Paracale Land" sheetId="3" state="visible" r:id="rId5"/>
    <sheet name="Other Damage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<sst xmlns="http://schemas.openxmlformats.org/spreadsheetml/2006/main" count="87" uniqueCount="74">
  <si>
    <t xml:space="preserve">ACE — RENT &amp; DAMAGES WORKSHEET (Inocalla Estate)</t>
  </si>
  <si>
    <t xml:space="preserve">Purpose: quantify the money claim against Vicente Inocalla III ('Ace') &amp; group for occupying and renting</t>
  </si>
  <si>
    <t xml:space="preserve">the estate's Manila apartment units and Paracale land, plus related damages. Companion to ACE_DAMAGES_FRAMEWORK.md.</t>
  </si>
  <si>
    <t xml:space="preserve">HOW TO USE:</t>
  </si>
  <si>
    <t xml:space="preserve">  1. Fill only the YELLOW cells (blue text = you type it). Black cells are formulas — do not overwrite.</t>
  </si>
  <si>
    <t xml:space="preserve">  2. Set the Valuation Date on the 'Manila Units' tab (default 2026-07-04). Leave a unit's 'End' blank if still occupied.</t>
  </si>
  <si>
    <t xml:space="preserve">  3. Totals roll up automatically to the SUMMARY tab.</t>
  </si>
  <si>
    <t xml:space="preserve">COLOR KEY:  yellow cell / blue text = input you provide   |   black = formula   |   green = links from another tab</t>
  </si>
  <si>
    <t xml:space="preserve">LEGAL CAUTIONS (read before relying on totals):</t>
  </si>
  <si>
    <t xml:space="preserve">  - EJECTMENT (MeTC) recovers only the Manila fair-rental value + attorney's fees. The rest (fruits collected,</t>
  </si>
  <si>
    <t xml:space="preserve">    exemplary, moral, Paracale land, litigation cost) belongs in a SEPARATE damages action (RTC).</t>
  </si>
  <si>
    <t xml:space="preserve">  - DO NOT claim the same Manila rents in both cases (anti-splitting / forum-shopping). The SUMMARY marks which</t>
  </si>
  <si>
    <t xml:space="preserve">    forum each head goes to.</t>
  </si>
  <si>
    <t xml:space="preserve">  - RECOVERABLE PERIOD is a legal question for counsel (prescription; from when bad-faith possession/ demand runs).</t>
  </si>
  <si>
    <t xml:space="preserve">    This sheet computes for whatever period you enter — counsel sets the lawful cut-off.</t>
  </si>
  <si>
    <t xml:space="preserve">  - All figures are ESTIMATES for pleading until supported by evidence (rent proof, tenant list, billings).</t>
  </si>
  <si>
    <t xml:space="preserve">Prepared 2026-07-04. Fill with the family; confirm figures with counsel.</t>
  </si>
  <si>
    <t xml:space="preserve">MANILA BUILDING — 2531 G. Del Pilar St., Sta. Ana, Manila (TCT 44055) — lost rents / fair rental value</t>
  </si>
  <si>
    <t xml:space="preserve">Valuation Date (used when a unit's End is blank):</t>
  </si>
  <si>
    <t xml:space="preserve">Unit #</t>
  </si>
  <si>
    <t xml:space="preserve">Description / Floor</t>
  </si>
  <si>
    <t xml:space="preserve">Occupant (Ace group?)</t>
  </si>
  <si>
    <t xml:space="preserve">Occupation Start</t>
  </si>
  <si>
    <t xml:space="preserve">Period End (blank = still occupied)</t>
  </si>
  <si>
    <t xml:space="preserve">Months (auto)</t>
  </si>
  <si>
    <t xml:space="preserve">Fair Monthly Rent ₱</t>
  </si>
  <si>
    <t xml:space="preserve">Fair Rental Value ₱ (auto)</t>
  </si>
  <si>
    <t xml:space="preserve">Rents Ace Actually Collected ₱ (if known)</t>
  </si>
  <si>
    <t xml:space="preserve">Notes</t>
  </si>
  <si>
    <t xml:space="preserve">TOTAL</t>
  </si>
  <si>
    <t xml:space="preserve">Per Complaint vs Ace (docs 644/526): the group occupied the units of Allan, Jesus, Casper, Melvin, Francisco (NOT Cipriana's or Senen's) and rented them.</t>
  </si>
  <si>
    <t xml:space="preserve">PARACALE ESTATE LAND — reasonable value of use during Ace occupation (~25 ha, Front 1A)</t>
  </si>
  <si>
    <t xml:space="preserve">Valuation Date:</t>
  </si>
  <si>
    <t xml:space="preserve">Parcel / Title</t>
  </si>
  <si>
    <t xml:space="preserve">Area (ha)</t>
  </si>
  <si>
    <t xml:space="preserve">Period End (blank = now)</t>
  </si>
  <si>
    <t xml:space="preserve">Fair Use Value ₱ / ha / month</t>
  </si>
  <si>
    <t xml:space="preserve">Total ₱ (auto)</t>
  </si>
  <si>
    <t xml:space="preserve">OTHER DAMAGES (the separate RTC damages action)</t>
  </si>
  <si>
    <t xml:space="preserve">Head of Damages</t>
  </si>
  <si>
    <t xml:space="preserve">Legal Basis</t>
  </si>
  <si>
    <t xml:space="preserve">Claimed by</t>
  </si>
  <si>
    <t xml:space="preserve">Amount ₱</t>
  </si>
  <si>
    <t xml:space="preserve">Notes / how to prove</t>
  </si>
  <si>
    <t xml:space="preserve">Rents Ace actually collected (fruits, bad faith)</t>
  </si>
  <si>
    <t xml:space="preserve">Civil Code Arts. 549, 552</t>
  </si>
  <si>
    <t xml:space="preserve">Estate</t>
  </si>
  <si>
    <t xml:space="preserve">Auto-linked from Manila Units total; a possessor in bad faith returns fruits received</t>
  </si>
  <si>
    <t xml:space="preserve">Attorney's fees &amp; litigation expenses</t>
  </si>
  <si>
    <t xml:space="preserve">Art. 2208 (1)(2)(5)</t>
  </si>
  <si>
    <t xml:space="preserve">Estate's counsel billings across CA SP 161072 / SC G.R. 256997 / the Dec-2025 MR</t>
  </si>
  <si>
    <t xml:space="preserve">Exemplary damages</t>
  </si>
  <si>
    <t xml:space="preserve">Arts. 2229-2234</t>
  </si>
  <si>
    <t xml:space="preserve">Estate / heirs</t>
  </si>
  <si>
    <t xml:space="preserve">Predicate = judicially-found bad-faith buyer + conspiracy; court discretion</t>
  </si>
  <si>
    <t xml:space="preserve">Moral damages</t>
  </si>
  <si>
    <t xml:space="preserve">Arts. 2217, 2219-2220</t>
  </si>
  <si>
    <t xml:space="preserve">Individual heirs (personal)</t>
  </si>
  <si>
    <t xml:space="preserve">Affidavits of harassed heirs (Marilou, Jesus, etc.) — anxiety from threats/bullying</t>
  </si>
  <si>
    <t xml:space="preserve">Temperate / nominal (fallback)</t>
  </si>
  <si>
    <t xml:space="preserve">Arts. 2224 / 2221</t>
  </si>
  <si>
    <t xml:space="preserve">Use only if exact amounts unprovable</t>
  </si>
  <si>
    <t xml:space="preserve">TOTAL (other damages)</t>
  </si>
  <si>
    <t xml:space="preserve">SUMMARY — total money claim vs Ace</t>
  </si>
  <si>
    <t xml:space="preserve">Head</t>
  </si>
  <si>
    <t xml:space="preserve">Forum (where claimed)</t>
  </si>
  <si>
    <t xml:space="preserve">Manila fair rental value (lost use of the 10 units)</t>
  </si>
  <si>
    <t xml:space="preserve">EJECTMENT (MeTC) — reasonable compensation</t>
  </si>
  <si>
    <t xml:space="preserve">Rents Ace actually collected (fruits)</t>
  </si>
  <si>
    <t xml:space="preserve">Damages suit (RTC)</t>
  </si>
  <si>
    <t xml:space="preserve">Paracale land — reasonable value of use</t>
  </si>
  <si>
    <t xml:space="preserve">Moral damages (heirs, personal)</t>
  </si>
  <si>
    <t xml:space="preserve">GRAND TOTAL (all heads)</t>
  </si>
  <si>
    <t xml:space="preserve">NOTE: the Manila fair-rental row is claimed in the EJECTMENT; do not also claim it in the damages suit. Fruits collected are the distinct bad-faith measure for the RTC action.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</si>
</sst>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"/>
    <numFmt numFmtId="167" formatCode="\₱#,##0;&quot;(₱&quot;#,##0\);\-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4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17</v>
      </c>
    </row>
    <row r="3" customFormat="false" ht="15" hidden="false" customHeight="false" outlineLevel="0" collapsed="false">
      <c r="A3" s="4" t="s">
        <v>18</v>
      </c>
      <c r="D3" s="5" t="n">
        <v>46207</v>
      </c>
    </row>
    <row r="5" customFormat="false" ht="39.55" hidden="false" customHeight="false" outlineLevel="0" collapsed="false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27</v>
      </c>
      <c r="J5" s="6" t="s">
        <v>28</v>
      </c>
    </row>
    <row r="6" customFormat="false" ht="15" hidden="false" customHeight="false" outlineLevel="0" collapsed="false">
      <c r="A6" s="7" t="n">
        <v>1</v>
      </c>
      <c r="B6" s="8"/>
      <c r="C6" s="8"/>
      <c r="D6" s="5"/>
      <c r="E6" s="5"/>
      <c r="F6" s="9" t="str">
        <f aca="false">IF(D6="","",ROUND((IF(E6="",$D$3,E6)-D6)/30.4375,1))</f>
        <v/>
      </c>
      <c r="G6" s="10"/>
      <c r="H6" s="11" t="n">
        <f aca="false">IF(OR(F6="",G6=""),0,F6*G6)</f>
        <v>0</v>
      </c>
      <c r="I6" s="10"/>
      <c r="J6" s="12"/>
    </row>
    <row r="7" customFormat="false" ht="15" hidden="false" customHeight="false" outlineLevel="0" collapsed="false">
      <c r="A7" s="7" t="n">
        <v>2</v>
      </c>
      <c r="B7" s="8"/>
      <c r="C7" s="8"/>
      <c r="D7" s="5"/>
      <c r="E7" s="5"/>
      <c r="F7" s="9" t="str">
        <f aca="false">IF(D7="","",ROUND((IF(E7="",$D$3,E7)-D7)/30.4375,1))</f>
        <v/>
      </c>
      <c r="G7" s="10"/>
      <c r="H7" s="11" t="n">
        <f aca="false">IF(OR(F7="",G7=""),0,F7*G7)</f>
        <v>0</v>
      </c>
      <c r="I7" s="10"/>
      <c r="J7" s="12"/>
    </row>
    <row r="8" customFormat="false" ht="15" hidden="false" customHeight="false" outlineLevel="0" collapsed="false">
      <c r="A8" s="7" t="n">
        <v>3</v>
      </c>
      <c r="B8" s="8"/>
      <c r="C8" s="8"/>
      <c r="D8" s="5"/>
      <c r="E8" s="5"/>
      <c r="F8" s="9" t="str">
        <f aca="false">IF(D8="","",ROUND((IF(E8="",$D$3,E8)-D8)/30.4375,1))</f>
        <v/>
      </c>
      <c r="G8" s="10"/>
      <c r="H8" s="11" t="n">
        <f aca="false">IF(OR(F8="",G8=""),0,F8*G8)</f>
        <v>0</v>
      </c>
      <c r="I8" s="10"/>
      <c r="J8" s="12"/>
    </row>
    <row r="9" customFormat="false" ht="15" hidden="false" customHeight="false" outlineLevel="0" collapsed="false">
      <c r="A9" s="7" t="n">
        <v>4</v>
      </c>
      <c r="B9" s="8"/>
      <c r="C9" s="8"/>
      <c r="D9" s="5"/>
      <c r="E9" s="5"/>
      <c r="F9" s="9" t="str">
        <f aca="false">IF(D9="","",ROUND((IF(E9="",$D$3,E9)-D9)/30.4375,1))</f>
        <v/>
      </c>
      <c r="G9" s="10"/>
      <c r="H9" s="11" t="n">
        <f aca="false">IF(OR(F9="",G9=""),0,F9*G9)</f>
        <v>0</v>
      </c>
      <c r="I9" s="10"/>
      <c r="J9" s="12"/>
    </row>
    <row r="10" customFormat="false" ht="15" hidden="false" customHeight="false" outlineLevel="0" collapsed="false">
      <c r="A10" s="7" t="n">
        <v>5</v>
      </c>
      <c r="B10" s="8"/>
      <c r="C10" s="8"/>
      <c r="D10" s="5"/>
      <c r="E10" s="5"/>
      <c r="F10" s="9" t="str">
        <f aca="false">IF(D10="","",ROUND((IF(E10="",$D$3,E10)-D10)/30.4375,1))</f>
        <v/>
      </c>
      <c r="G10" s="10"/>
      <c r="H10" s="11" t="n">
        <f aca="false">IF(OR(F10="",G10=""),0,F10*G10)</f>
        <v>0</v>
      </c>
      <c r="I10" s="10"/>
      <c r="J10" s="12"/>
    </row>
    <row r="11" customFormat="false" ht="15" hidden="false" customHeight="false" outlineLevel="0" collapsed="false">
      <c r="A11" s="7" t="n">
        <v>6</v>
      </c>
      <c r="B11" s="8"/>
      <c r="C11" s="8"/>
      <c r="D11" s="5"/>
      <c r="E11" s="5"/>
      <c r="F11" s="9" t="str">
        <f aca="false">IF(D11="","",ROUND((IF(E11="",$D$3,E11)-D11)/30.4375,1))</f>
        <v/>
      </c>
      <c r="G11" s="10"/>
      <c r="H11" s="11" t="n">
        <f aca="false">IF(OR(F11="",G11=""),0,F11*G11)</f>
        <v>0</v>
      </c>
      <c r="I11" s="10"/>
      <c r="J11" s="12"/>
    </row>
    <row r="12" customFormat="false" ht="15" hidden="false" customHeight="false" outlineLevel="0" collapsed="false">
      <c r="A12" s="7" t="n">
        <v>7</v>
      </c>
      <c r="B12" s="8"/>
      <c r="C12" s="8"/>
      <c r="D12" s="5"/>
      <c r="E12" s="5"/>
      <c r="F12" s="9" t="str">
        <f aca="false">IF(D12="","",ROUND((IF(E12="",$D$3,E12)-D12)/30.4375,1))</f>
        <v/>
      </c>
      <c r="G12" s="10"/>
      <c r="H12" s="11" t="n">
        <f aca="false">IF(OR(F12="",G12=""),0,F12*G12)</f>
        <v>0</v>
      </c>
      <c r="I12" s="10"/>
      <c r="J12" s="12"/>
    </row>
    <row r="13" customFormat="false" ht="15" hidden="false" customHeight="false" outlineLevel="0" collapsed="false">
      <c r="A13" s="7" t="n">
        <v>8</v>
      </c>
      <c r="B13" s="8"/>
      <c r="C13" s="8"/>
      <c r="D13" s="5"/>
      <c r="E13" s="5"/>
      <c r="F13" s="9" t="str">
        <f aca="false">IF(D13="","",ROUND((IF(E13="",$D$3,E13)-D13)/30.4375,1))</f>
        <v/>
      </c>
      <c r="G13" s="10"/>
      <c r="H13" s="11" t="n">
        <f aca="false">IF(OR(F13="",G13=""),0,F13*G13)</f>
        <v>0</v>
      </c>
      <c r="I13" s="10"/>
      <c r="J13" s="12"/>
    </row>
    <row r="14" customFormat="false" ht="15" hidden="false" customHeight="false" outlineLevel="0" collapsed="false">
      <c r="A14" s="7" t="n">
        <v>9</v>
      </c>
      <c r="B14" s="8"/>
      <c r="C14" s="8"/>
      <c r="D14" s="5"/>
      <c r="E14" s="5"/>
      <c r="F14" s="9" t="str">
        <f aca="false">IF(D14="","",ROUND((IF(E14="",$D$3,E14)-D14)/30.4375,1))</f>
        <v/>
      </c>
      <c r="G14" s="10"/>
      <c r="H14" s="11" t="n">
        <f aca="false">IF(OR(F14="",G14=""),0,F14*G14)</f>
        <v>0</v>
      </c>
      <c r="I14" s="10"/>
      <c r="J14" s="12"/>
    </row>
    <row r="15" customFormat="false" ht="15" hidden="false" customHeight="false" outlineLevel="0" collapsed="false">
      <c r="A15" s="7" t="n">
        <v>10</v>
      </c>
      <c r="B15" s="8"/>
      <c r="C15" s="8"/>
      <c r="D15" s="5"/>
      <c r="E15" s="5"/>
      <c r="F15" s="9" t="str">
        <f aca="false">IF(D15="","",ROUND((IF(E15="",$D$3,E15)-D15)/30.4375,1))</f>
        <v/>
      </c>
      <c r="G15" s="10"/>
      <c r="H15" s="11" t="n">
        <f aca="false">IF(OR(F15="",G15=""),0,F15*G15)</f>
        <v>0</v>
      </c>
      <c r="I15" s="10"/>
      <c r="J15" s="12"/>
    </row>
    <row r="16" customFormat="false" ht="15" hidden="false" customHeight="false" outlineLevel="0" collapsed="false">
      <c r="A16" s="13" t="s">
        <v>29</v>
      </c>
      <c r="B16" s="14"/>
      <c r="C16" s="14"/>
      <c r="D16" s="14"/>
      <c r="E16" s="14"/>
      <c r="F16" s="14"/>
      <c r="G16" s="14"/>
      <c r="H16" s="15" t="n">
        <f aca="false">SUM(H6:H15)</f>
        <v>0</v>
      </c>
      <c r="I16" s="15" t="n">
        <f aca="false">SUM(I6:I15)</f>
        <v>0</v>
      </c>
      <c r="J16" s="14"/>
    </row>
    <row r="18" customFormat="false" ht="15" hidden="false" customHeight="false" outlineLevel="0" collapsed="false">
      <c r="A18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1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4" t="s">
        <v>32</v>
      </c>
      <c r="C3" s="16" t="n">
        <f aca="false">'Manila Units'!D3</f>
        <v>46207</v>
      </c>
    </row>
    <row r="5" customFormat="false" ht="26.85" hidden="false" customHeight="false" outlineLevel="0" collapsed="false">
      <c r="A5" s="6" t="s">
        <v>33</v>
      </c>
      <c r="B5" s="6" t="s">
        <v>34</v>
      </c>
      <c r="C5" s="6" t="s">
        <v>22</v>
      </c>
      <c r="D5" s="6" t="s">
        <v>35</v>
      </c>
      <c r="E5" s="6" t="s">
        <v>24</v>
      </c>
      <c r="F5" s="6" t="s">
        <v>36</v>
      </c>
      <c r="G5" s="6" t="s">
        <v>37</v>
      </c>
      <c r="H5" s="6" t="s">
        <v>28</v>
      </c>
    </row>
    <row r="6" customFormat="false" ht="15" hidden="false" customHeight="false" outlineLevel="0" collapsed="false">
      <c r="A6" s="8"/>
      <c r="B6" s="17"/>
      <c r="C6" s="5"/>
      <c r="D6" s="5"/>
      <c r="E6" s="9" t="str">
        <f aca="false">IF(C6="","",ROUND((IF(D6="",$C$3,D6)-C6)/30.4375,1))</f>
        <v/>
      </c>
      <c r="F6" s="10"/>
      <c r="G6" s="11" t="n">
        <f aca="false">IF(OR(B6="",E6="",F6=""),0,B6*E6*F6)</f>
        <v>0</v>
      </c>
      <c r="H6" s="12"/>
    </row>
    <row r="7" customFormat="false" ht="15" hidden="false" customHeight="false" outlineLevel="0" collapsed="false">
      <c r="A7" s="8"/>
      <c r="B7" s="17"/>
      <c r="C7" s="5"/>
      <c r="D7" s="5"/>
      <c r="E7" s="9" t="str">
        <f aca="false">IF(C7="","",ROUND((IF(D7="",$C$3,D7)-C7)/30.4375,1))</f>
        <v/>
      </c>
      <c r="F7" s="10"/>
      <c r="G7" s="11" t="n">
        <f aca="false">IF(OR(B7="",E7="",F7=""),0,B7*E7*F7)</f>
        <v>0</v>
      </c>
      <c r="H7" s="12"/>
    </row>
    <row r="8" customFormat="false" ht="15" hidden="false" customHeight="false" outlineLevel="0" collapsed="false">
      <c r="A8" s="8"/>
      <c r="B8" s="17"/>
      <c r="C8" s="5"/>
      <c r="D8" s="5"/>
      <c r="E8" s="9" t="str">
        <f aca="false">IF(C8="","",ROUND((IF(D8="",$C$3,D8)-C8)/30.4375,1))</f>
        <v/>
      </c>
      <c r="F8" s="10"/>
      <c r="G8" s="11" t="n">
        <f aca="false">IF(OR(B8="",E8="",F8=""),0,B8*E8*F8)</f>
        <v>0</v>
      </c>
      <c r="H8" s="12"/>
    </row>
    <row r="9" customFormat="false" ht="15" hidden="false" customHeight="false" outlineLevel="0" collapsed="false">
      <c r="A9" s="8"/>
      <c r="B9" s="17"/>
      <c r="C9" s="5"/>
      <c r="D9" s="5"/>
      <c r="E9" s="9" t="str">
        <f aca="false">IF(C9="","",ROUND((IF(D9="",$C$3,D9)-C9)/30.4375,1))</f>
        <v/>
      </c>
      <c r="F9" s="10"/>
      <c r="G9" s="11" t="n">
        <f aca="false">IF(OR(B9="",E9="",F9=""),0,B9*E9*F9)</f>
        <v>0</v>
      </c>
      <c r="H9" s="12"/>
    </row>
    <row r="10" customFormat="false" ht="15" hidden="false" customHeight="false" outlineLevel="0" collapsed="false">
      <c r="A10" s="13" t="s">
        <v>29</v>
      </c>
      <c r="B10" s="14"/>
      <c r="C10" s="14"/>
      <c r="D10" s="14"/>
      <c r="E10" s="14"/>
      <c r="F10" s="14"/>
      <c r="G10" s="15" t="n">
        <f aca="false">SUM(G6:G9)</f>
        <v>0</v>
      </c>
      <c r="H1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</row>
    <row r="4" customFormat="false" ht="15" hidden="false" customHeight="false" outlineLevel="0" collapsed="false">
      <c r="A4" s="7" t="s">
        <v>44</v>
      </c>
      <c r="B4" s="7" t="s">
        <v>45</v>
      </c>
      <c r="C4" s="7" t="s">
        <v>46</v>
      </c>
      <c r="D4" s="18" t="n">
        <f aca="false">'Manila Units'!I15</f>
        <v>0</v>
      </c>
      <c r="E4" s="12" t="s">
        <v>47</v>
      </c>
    </row>
    <row r="5" customFormat="false" ht="15" hidden="false" customHeight="false" outlineLevel="0" collapsed="false">
      <c r="A5" s="7" t="s">
        <v>48</v>
      </c>
      <c r="B5" s="7" t="s">
        <v>49</v>
      </c>
      <c r="C5" s="7" t="s">
        <v>46</v>
      </c>
      <c r="D5" s="10"/>
      <c r="E5" s="12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53</v>
      </c>
      <c r="D6" s="10"/>
      <c r="E6" s="12" t="s">
        <v>54</v>
      </c>
    </row>
    <row r="7" customFormat="false" ht="15" hidden="false" customHeight="false" outlineLevel="0" collapsed="false">
      <c r="A7" s="7" t="s">
        <v>55</v>
      </c>
      <c r="B7" s="7" t="s">
        <v>56</v>
      </c>
      <c r="C7" s="7" t="s">
        <v>57</v>
      </c>
      <c r="D7" s="10"/>
      <c r="E7" s="12" t="s">
        <v>58</v>
      </c>
    </row>
    <row r="8" customFormat="false" ht="15" hidden="false" customHeight="false" outlineLevel="0" collapsed="false">
      <c r="A8" s="7" t="s">
        <v>59</v>
      </c>
      <c r="B8" s="7" t="s">
        <v>60</v>
      </c>
      <c r="C8" s="7" t="s">
        <v>46</v>
      </c>
      <c r="D8" s="10"/>
      <c r="E8" s="12" t="s">
        <v>61</v>
      </c>
    </row>
    <row r="9" customFormat="false" ht="15" hidden="false" customHeight="false" outlineLevel="0" collapsed="false">
      <c r="A9" s="13" t="s">
        <v>62</v>
      </c>
      <c r="B9" s="14"/>
      <c r="C9" s="14"/>
      <c r="D9" s="15" t="n">
        <f aca="false">SUM(D4:D8)</f>
        <v>0</v>
      </c>
      <c r="E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6" t="s">
        <v>64</v>
      </c>
      <c r="B3" s="6" t="s">
        <v>42</v>
      </c>
      <c r="C3" s="6" t="s">
        <v>65</v>
      </c>
    </row>
    <row r="4" customFormat="false" ht="15" hidden="false" customHeight="false" outlineLevel="0" collapsed="false">
      <c r="A4" s="7" t="s">
        <v>66</v>
      </c>
      <c r="B4" s="18" t="n">
        <f aca="false">'Manila Units'!H15</f>
        <v>0</v>
      </c>
      <c r="C4" s="7" t="s">
        <v>67</v>
      </c>
    </row>
    <row r="5" customFormat="false" ht="15" hidden="false" customHeight="false" outlineLevel="0" collapsed="false">
      <c r="A5" s="7" t="s">
        <v>68</v>
      </c>
      <c r="B5" s="18" t="n">
        <f aca="false">'Other Damages'!D4</f>
        <v>0</v>
      </c>
      <c r="C5" s="7" t="s">
        <v>69</v>
      </c>
    </row>
    <row r="6" customFormat="false" ht="15" hidden="false" customHeight="false" outlineLevel="0" collapsed="false">
      <c r="A6" s="7" t="s">
        <v>70</v>
      </c>
      <c r="B6" s="18" t="n">
        <f aca="false">'Paracale Land'!G10</f>
        <v>0</v>
      </c>
      <c r="C6" s="7" t="s">
        <v>69</v>
      </c>
    </row>
    <row r="7" customFormat="false" ht="15" hidden="false" customHeight="false" outlineLevel="0" collapsed="false">
      <c r="A7" s="7" t="s">
        <v>48</v>
      </c>
      <c r="B7" s="18" t="n">
        <f aca="false">'Other Damages'!D5</f>
        <v>0</v>
      </c>
      <c r="C7" s="7" t="s">
        <v>69</v>
      </c>
    </row>
    <row r="8" customFormat="false" ht="15" hidden="false" customHeight="false" outlineLevel="0" collapsed="false">
      <c r="A8" s="7" t="s">
        <v>51</v>
      </c>
      <c r="B8" s="18" t="n">
        <f aca="false">'Other Damages'!D6</f>
        <v>0</v>
      </c>
      <c r="C8" s="7" t="s">
        <v>69</v>
      </c>
    </row>
    <row r="9" customFormat="false" ht="15" hidden="false" customHeight="false" outlineLevel="0" collapsed="false">
      <c r="A9" s="7" t="s">
        <v>71</v>
      </c>
      <c r="B9" s="18" t="n">
        <f aca="false">'Other Damages'!D7</f>
        <v>0</v>
      </c>
      <c r="C9" s="7" t="s">
        <v>69</v>
      </c>
    </row>
    <row r="10" customFormat="false" ht="15" hidden="false" customHeight="false" outlineLevel="0" collapsed="false">
      <c r="A10" s="19" t="s">
        <v>72</v>
      </c>
      <c r="B10" s="20" t="n">
        <f aca="false">SUM(B4:B9)</f>
        <v>0</v>
      </c>
      <c r="C10" s="14"/>
    </row>
    <row r="12" customFormat="false" ht="15" hidden="false" customHeight="false" outlineLevel="0" collapsed="false">
      <c r="A12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2026-07-04T05:28:48Z</dcterms:created>
  <dc:creator>openpyxl</dc:creator>
  <dc:description/>
  <dc:language>en-US</dc:language>
  <cp:lastModifiedBy/>
  <dcterms:modified xsi:type="dcterms:W3CDTF">2026-07-04T05:28:48Z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